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uthvirajb/Downloads/"/>
    </mc:Choice>
  </mc:AlternateContent>
  <xr:revisionPtr revIDLastSave="0" documentId="13_ncr:1_{DA0B3BB3-EE07-964A-B78E-28C97DC09634}" xr6:coauthVersionLast="47" xr6:coauthVersionMax="47" xr10:uidLastSave="{00000000-0000-0000-0000-000000000000}"/>
  <bookViews>
    <workbookView xWindow="0" yWindow="0" windowWidth="33600" windowHeight="21000" xr2:uid="{4F195803-D7E2-5C45-A6B1-A4CAFBB70804}"/>
  </bookViews>
  <sheets>
    <sheet name="EMI_Debited" sheetId="1" r:id="rId1"/>
    <sheet name="Extra_Payments_happen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3" i="1"/>
  <c r="I6" i="1"/>
  <c r="I8" i="1"/>
  <c r="G3" i="2"/>
</calcChain>
</file>

<file path=xl/sharedStrings.xml><?xml version="1.0" encoding="utf-8"?>
<sst xmlns="http://schemas.openxmlformats.org/spreadsheetml/2006/main" count="59" uniqueCount="22">
  <si>
    <t>Date</t>
  </si>
  <si>
    <t>comment</t>
  </si>
  <si>
    <t>Amount</t>
  </si>
  <si>
    <t>success</t>
  </si>
  <si>
    <t>failed</t>
  </si>
  <si>
    <t>status_bank</t>
  </si>
  <si>
    <t>status_indusland</t>
  </si>
  <si>
    <t>second time in the same month</t>
  </si>
  <si>
    <t>reason_indusland</t>
  </si>
  <si>
    <t>reason_bank</t>
  </si>
  <si>
    <t>Failed_according to Bank statement</t>
  </si>
  <si>
    <t>Failed_according to EMI statement</t>
  </si>
  <si>
    <t>Manual Repayment done</t>
  </si>
  <si>
    <t>Total</t>
  </si>
  <si>
    <t>date</t>
  </si>
  <si>
    <t>amount</t>
  </si>
  <si>
    <t>sl</t>
  </si>
  <si>
    <t>Total_online_deduction</t>
  </si>
  <si>
    <t>Summed_ Total_deduction</t>
  </si>
  <si>
    <t>Extra_charges</t>
  </si>
  <si>
    <t>Final Payment done</t>
  </si>
  <si>
    <t>1 day delay- 3357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</si>
</sst>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66" formatCode="_ [$₹-4009]\ * #,##0.00_ ;_ [$₹-4009]\ * \-#,##0.00_ ;_ [$₹-4009]\ * &quot;-&quot;??_ ;_ @_ "/>
  </numFmts>
  <fonts count="4" x14ac:knownFonts="1">
    <font>
      <sz val="12"/>
      <color theme="1"/>
      <name val="Cambria"/>
      <family val="2"/>
    </font>
    <font>
      <b/>
      <sz val="12"/>
      <color theme="0"/>
      <name val="Cambria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2" fillId="4" borderId="4" xfId="0" applyFont="1" applyFill="1" applyBorder="1"/>
    <xf numFmtId="166" fontId="0" fillId="0" borderId="4" xfId="0" applyNumberFormat="1" applyBorder="1"/>
    <xf numFmtId="0" fontId="1" fillId="2" borderId="1" xfId="0" applyNumberFormat="1" applyFont="1" applyFill="1" applyBorder="1"/>
    <xf numFmtId="0" fontId="0" fillId="0" borderId="1" xfId="0" applyNumberFormat="1" applyFont="1" applyBorder="1"/>
    <xf numFmtId="0" fontId="0" fillId="3" borderId="1" xfId="0" applyNumberFormat="1" applyFont="1" applyFill="1" applyBorder="1"/>
    <xf numFmtId="0" fontId="0" fillId="0" borderId="0" xfId="0" applyNumberFormat="1"/>
    <xf numFmtId="165" fontId="0" fillId="0" borderId="4" xfId="0" applyNumberFormat="1" applyBorder="1"/>
    <xf numFmtId="166" fontId="0" fillId="0" borderId="4" xfId="0" applyNumberFormat="1" applyBorder="1" applyAlignment="1">
      <alignment horizontal="left" vertical="center"/>
    </xf>
    <xf numFmtId="0" fontId="0" fillId="0" borderId="4" xfId="0" applyBorder="1"/>
    <xf numFmtId="165" fontId="0" fillId="3" borderId="4" xfId="0" applyNumberFormat="1" applyFill="1" applyBorder="1"/>
    <xf numFmtId="166" fontId="0" fillId="3" borderId="4" xfId="0" applyNumberFormat="1" applyFill="1" applyBorder="1" applyAlignment="1">
      <alignment horizontal="left" vertical="center"/>
    </xf>
    <xf numFmtId="0" fontId="0" fillId="3" borderId="4" xfId="0" applyFill="1" applyBorder="1"/>
    <xf numFmtId="0" fontId="2" fillId="6" borderId="4" xfId="0" applyFont="1" applyFill="1" applyBorder="1" applyAlignment="1">
      <alignment horizontal="left"/>
    </xf>
    <xf numFmtId="166" fontId="3" fillId="5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 [$₹-4009]\ * #,##0.00_ ;_ [$₹-4009]\ * \-#,##0.00_ ;_ [$₹-4009]\ * &quot;-&quot;??_ ;_ @_ 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 [$₹-4009]\ * #,##0.00_ ;_ [$₹-4009]\ * \-#,##0.00_ ;_ [$₹-4009]\ * &quot;-&quot;??_ ;_ @_ "/>
    </dxf>
    <dxf>
      <numFmt numFmtId="165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DDDB5-8C0A-D94C-AB6E-116E138F3EF9}" name="Table1" displayName="Table1" ref="B1:F38" totalsRowShown="0">
  <autoFilter ref="B1:F38" xr:uid="{A6FDDDB5-8C0A-D94C-AB6E-116E138F3EF9}"/>
  <tableColumns count="5">
    <tableColumn id="1" xr3:uid="{A09571C5-FDE5-994E-A579-91D60266861E}" name="date" dataDxfId="4"/>
    <tableColumn id="2" xr3:uid="{0511B92B-9F10-A44B-B12D-2B0F44622B24}" name="amount" dataDxfId="3"/>
    <tableColumn id="3" xr3:uid="{2DE00A2B-F78F-BD4B-8551-0EC6676749D7}" name="status_bank" dataDxfId="2"/>
    <tableColumn id="6" xr3:uid="{ACD8EBD6-532A-B84D-B4B8-E7522E6D29E3}" name="status_indusland" dataDxfId="1"/>
    <tableColumn id="4" xr3:uid="{CDD73A71-A028-7B4A-A29D-B5E5118A3AA9}" name="comment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7FBCB8-F362-DE4F-94EB-3A783D2B978F}" name="Table2" displayName="Table2" ref="A1:E17" totalsRowShown="0" headerRowDxfId="10">
  <autoFilter ref="A1:E17" xr:uid="{5F7FBCB8-F362-DE4F-94EB-3A783D2B978F}"/>
  <tableColumns count="5">
    <tableColumn id="1" xr3:uid="{A050A417-62D6-5749-AEFC-616DAE850999}" name="Date" dataDxfId="9"/>
    <tableColumn id="2" xr3:uid="{6EBBBF02-5A1E-8042-AE88-498CF384F164}" name="Amount" dataDxfId="8"/>
    <tableColumn id="4" xr3:uid="{028CC3F3-0DC1-F442-8EA7-CFA43D7B3F81}" name="reason_indusland"/>
    <tableColumn id="5" xr3:uid="{8DD83812-E753-8B4B-8218-03B5DA6FE086}" name="comment"/>
    <tableColumn id="6" xr3:uid="{5D66793F-852C-FA43-9079-CAF9D4A42758}" name="reason_ba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CFD8-09A4-684F-8BB0-DA4265544AFD}">
  <dimension ref="A1:I38"/>
  <sheetViews>
    <sheetView tabSelected="1" zoomScale="125" workbookViewId="0">
      <selection activeCell="A8" sqref="A8:F9"/>
    </sheetView>
  </sheetViews>
  <sheetFormatPr baseColWidth="10" defaultRowHeight="16" x14ac:dyDescent="0.2"/>
  <cols>
    <col min="1" max="1" width="3" style="14" bestFit="1" customWidth="1"/>
    <col min="3" max="3" width="9.42578125" style="6" bestFit="1" customWidth="1"/>
    <col min="4" max="4" width="12.28515625" bestFit="1" customWidth="1"/>
    <col min="5" max="5" width="16.28515625" bestFit="1" customWidth="1"/>
    <col min="6" max="6" width="24.42578125" bestFit="1" customWidth="1"/>
    <col min="8" max="8" width="29.5703125" bestFit="1" customWidth="1"/>
    <col min="9" max="9" width="11.7109375" bestFit="1" customWidth="1"/>
  </cols>
  <sheetData>
    <row r="1" spans="1:9" x14ac:dyDescent="0.2">
      <c r="A1" s="11" t="s">
        <v>16</v>
      </c>
      <c r="B1" t="s">
        <v>14</v>
      </c>
      <c r="C1" s="6" t="s">
        <v>15</v>
      </c>
      <c r="D1" t="s">
        <v>5</v>
      </c>
      <c r="E1" t="s">
        <v>6</v>
      </c>
      <c r="F1" t="s">
        <v>1</v>
      </c>
    </row>
    <row r="2" spans="1:9" x14ac:dyDescent="0.2">
      <c r="A2" s="12">
        <v>1</v>
      </c>
      <c r="B2" s="15">
        <v>44879</v>
      </c>
      <c r="C2" s="16">
        <v>3357</v>
      </c>
      <c r="D2" s="17" t="s">
        <v>3</v>
      </c>
      <c r="E2" s="17"/>
      <c r="F2" s="17"/>
    </row>
    <row r="3" spans="1:9" x14ac:dyDescent="0.2">
      <c r="A3" s="12">
        <v>2</v>
      </c>
      <c r="B3" s="15">
        <v>44902</v>
      </c>
      <c r="C3" s="16">
        <v>3357</v>
      </c>
      <c r="D3" s="17" t="s">
        <v>3</v>
      </c>
      <c r="E3" s="17"/>
      <c r="F3" s="17"/>
      <c r="H3" s="21" t="s">
        <v>10</v>
      </c>
      <c r="I3" s="22">
        <f>SUMIF(D:D,"failed",C:C)</f>
        <v>23499</v>
      </c>
    </row>
    <row r="4" spans="1:9" x14ac:dyDescent="0.2">
      <c r="A4" s="12">
        <v>3</v>
      </c>
      <c r="B4" s="15">
        <v>44933</v>
      </c>
      <c r="C4" s="16">
        <v>3357</v>
      </c>
      <c r="D4" s="17" t="s">
        <v>3</v>
      </c>
      <c r="E4" s="17"/>
      <c r="F4" s="17"/>
      <c r="H4" s="21" t="s">
        <v>11</v>
      </c>
      <c r="I4" s="22"/>
    </row>
    <row r="5" spans="1:9" x14ac:dyDescent="0.2">
      <c r="A5" s="12">
        <v>4</v>
      </c>
      <c r="B5" s="15">
        <v>44964</v>
      </c>
      <c r="C5" s="16">
        <v>3357</v>
      </c>
      <c r="D5" s="17" t="s">
        <v>3</v>
      </c>
      <c r="E5" s="17"/>
      <c r="F5" s="17"/>
      <c r="H5" s="21" t="s">
        <v>12</v>
      </c>
      <c r="I5" s="22"/>
    </row>
    <row r="6" spans="1:9" x14ac:dyDescent="0.2">
      <c r="A6" s="12">
        <v>5</v>
      </c>
      <c r="B6" s="15">
        <v>44992</v>
      </c>
      <c r="C6" s="16">
        <v>3357</v>
      </c>
      <c r="D6" s="17" t="s">
        <v>3</v>
      </c>
      <c r="E6" s="17"/>
      <c r="F6" s="17"/>
      <c r="H6" s="21" t="s">
        <v>17</v>
      </c>
      <c r="I6" s="22">
        <f>SUMIF(D:D,"success",C:C)</f>
        <v>100693</v>
      </c>
    </row>
    <row r="7" spans="1:9" x14ac:dyDescent="0.2">
      <c r="A7" s="12">
        <v>6</v>
      </c>
      <c r="B7" s="15">
        <v>45023</v>
      </c>
      <c r="C7" s="16">
        <v>3357</v>
      </c>
      <c r="D7" s="17" t="s">
        <v>3</v>
      </c>
      <c r="E7" s="17"/>
      <c r="F7" s="17"/>
      <c r="H7" s="21" t="s">
        <v>18</v>
      </c>
      <c r="I7" s="22"/>
    </row>
    <row r="8" spans="1:9" x14ac:dyDescent="0.2">
      <c r="A8" s="12">
        <v>7</v>
      </c>
      <c r="B8" s="15">
        <v>45053</v>
      </c>
      <c r="C8" s="16">
        <v>3357</v>
      </c>
      <c r="D8" s="17" t="s">
        <v>4</v>
      </c>
      <c r="E8" s="17"/>
      <c r="F8" s="17"/>
      <c r="H8" s="21" t="s">
        <v>19</v>
      </c>
      <c r="I8" s="22">
        <f>Extra_Payments_happened!G3</f>
        <v>3600</v>
      </c>
    </row>
    <row r="9" spans="1:9" x14ac:dyDescent="0.2">
      <c r="A9" s="12">
        <v>8</v>
      </c>
      <c r="B9" s="15">
        <v>45084</v>
      </c>
      <c r="C9" s="16">
        <v>3357</v>
      </c>
      <c r="D9" s="17" t="s">
        <v>4</v>
      </c>
      <c r="E9" s="17"/>
      <c r="F9" s="17"/>
      <c r="H9" s="21" t="s">
        <v>20</v>
      </c>
      <c r="I9" s="22">
        <f>SUM(I5:I8)</f>
        <v>104293</v>
      </c>
    </row>
    <row r="10" spans="1:9" x14ac:dyDescent="0.2">
      <c r="A10" s="12">
        <v>9</v>
      </c>
      <c r="B10" s="15">
        <v>45114</v>
      </c>
      <c r="C10" s="16">
        <v>3357</v>
      </c>
      <c r="D10" s="17" t="s">
        <v>3</v>
      </c>
      <c r="E10" s="17"/>
      <c r="F10" s="17"/>
    </row>
    <row r="11" spans="1:9" x14ac:dyDescent="0.2">
      <c r="A11" s="12">
        <v>10</v>
      </c>
      <c r="B11" s="15">
        <v>45145</v>
      </c>
      <c r="C11" s="16">
        <v>3357</v>
      </c>
      <c r="D11" s="17" t="s">
        <v>3</v>
      </c>
      <c r="E11" s="17"/>
      <c r="F11" s="17"/>
    </row>
    <row r="12" spans="1:9" x14ac:dyDescent="0.2">
      <c r="A12" s="12">
        <v>11</v>
      </c>
      <c r="B12" s="15">
        <v>45176</v>
      </c>
      <c r="C12" s="16">
        <v>3357</v>
      </c>
      <c r="D12" s="17" t="s">
        <v>3</v>
      </c>
      <c r="E12" s="17"/>
      <c r="F12" s="17"/>
    </row>
    <row r="13" spans="1:9" x14ac:dyDescent="0.2">
      <c r="A13" s="12">
        <v>12</v>
      </c>
      <c r="B13" s="15">
        <v>45206</v>
      </c>
      <c r="C13" s="16">
        <v>3357</v>
      </c>
      <c r="D13" s="17" t="s">
        <v>3</v>
      </c>
      <c r="E13" s="17"/>
      <c r="F13" s="17"/>
    </row>
    <row r="14" spans="1:9" x14ac:dyDescent="0.2">
      <c r="A14" s="12">
        <v>13</v>
      </c>
      <c r="B14" s="15">
        <v>45237</v>
      </c>
      <c r="C14" s="16">
        <v>3357</v>
      </c>
      <c r="D14" s="17" t="s">
        <v>3</v>
      </c>
      <c r="E14" s="17"/>
      <c r="F14" s="17"/>
    </row>
    <row r="15" spans="1:9" x14ac:dyDescent="0.2">
      <c r="A15" s="12">
        <v>14</v>
      </c>
      <c r="B15" s="15">
        <v>45267</v>
      </c>
      <c r="C15" s="16">
        <v>3357</v>
      </c>
      <c r="D15" s="17" t="s">
        <v>3</v>
      </c>
      <c r="E15" s="17"/>
      <c r="F15" s="17"/>
    </row>
    <row r="16" spans="1:9" x14ac:dyDescent="0.2">
      <c r="A16" s="13">
        <v>15</v>
      </c>
      <c r="B16" s="18">
        <v>45289</v>
      </c>
      <c r="C16" s="19">
        <v>3357</v>
      </c>
      <c r="D16" s="20" t="s">
        <v>3</v>
      </c>
      <c r="E16" s="20"/>
      <c r="F16" s="20" t="s">
        <v>7</v>
      </c>
    </row>
    <row r="17" spans="1:8" x14ac:dyDescent="0.2">
      <c r="A17" s="12">
        <v>16</v>
      </c>
      <c r="B17" s="15">
        <v>45298</v>
      </c>
      <c r="C17" s="16">
        <v>3357</v>
      </c>
      <c r="D17" s="17" t="s">
        <v>3</v>
      </c>
      <c r="E17" s="17"/>
      <c r="F17" s="17"/>
    </row>
    <row r="18" spans="1:8" x14ac:dyDescent="0.2">
      <c r="A18" s="13">
        <v>17</v>
      </c>
      <c r="B18" s="18">
        <v>45315</v>
      </c>
      <c r="C18" s="19">
        <v>3357</v>
      </c>
      <c r="D18" s="20" t="s">
        <v>3</v>
      </c>
      <c r="E18" s="20"/>
      <c r="F18" s="20" t="s">
        <v>7</v>
      </c>
    </row>
    <row r="19" spans="1:8" x14ac:dyDescent="0.2">
      <c r="A19" s="12">
        <v>18</v>
      </c>
      <c r="B19" s="15">
        <v>45329</v>
      </c>
      <c r="C19" s="16">
        <v>3357</v>
      </c>
      <c r="D19" s="17" t="s">
        <v>3</v>
      </c>
      <c r="E19" s="17"/>
      <c r="F19" s="17"/>
    </row>
    <row r="20" spans="1:8" x14ac:dyDescent="0.2">
      <c r="A20" s="12">
        <v>19</v>
      </c>
      <c r="B20" s="15">
        <v>45358</v>
      </c>
      <c r="C20" s="16">
        <v>3357</v>
      </c>
      <c r="D20" s="17" t="s">
        <v>3</v>
      </c>
      <c r="E20" s="17"/>
      <c r="F20" s="17"/>
      <c r="H20" t="s">
        <v>21</v>
      </c>
    </row>
    <row r="21" spans="1:8" x14ac:dyDescent="0.2">
      <c r="A21" s="12">
        <v>20</v>
      </c>
      <c r="B21" s="15">
        <v>45389</v>
      </c>
      <c r="C21" s="16">
        <v>3357</v>
      </c>
      <c r="D21" s="17" t="s">
        <v>3</v>
      </c>
      <c r="E21" s="17"/>
      <c r="F21" s="17"/>
    </row>
    <row r="22" spans="1:8" x14ac:dyDescent="0.2">
      <c r="A22" s="12">
        <v>21</v>
      </c>
      <c r="B22" s="15">
        <v>45419</v>
      </c>
      <c r="C22" s="16">
        <v>3357</v>
      </c>
      <c r="D22" s="17" t="s">
        <v>4</v>
      </c>
      <c r="E22" s="17"/>
      <c r="F22" s="17"/>
    </row>
    <row r="23" spans="1:8" x14ac:dyDescent="0.2">
      <c r="A23" s="12">
        <v>22</v>
      </c>
      <c r="B23" s="15">
        <v>45450</v>
      </c>
      <c r="C23" s="16">
        <v>3357</v>
      </c>
      <c r="D23" s="17" t="s">
        <v>3</v>
      </c>
      <c r="E23" s="17"/>
      <c r="F23" s="17"/>
    </row>
    <row r="24" spans="1:8" x14ac:dyDescent="0.2">
      <c r="A24" s="12">
        <v>23</v>
      </c>
      <c r="B24" s="15">
        <v>45480</v>
      </c>
      <c r="C24" s="16">
        <v>3357</v>
      </c>
      <c r="D24" s="17" t="s">
        <v>4</v>
      </c>
      <c r="E24" s="17"/>
      <c r="F24" s="17"/>
    </row>
    <row r="25" spans="1:8" x14ac:dyDescent="0.2">
      <c r="A25" s="12">
        <v>24</v>
      </c>
      <c r="B25" s="15">
        <v>45511</v>
      </c>
      <c r="C25" s="16">
        <v>3357</v>
      </c>
      <c r="D25" s="17" t="s">
        <v>4</v>
      </c>
      <c r="E25" s="17"/>
      <c r="F25" s="17"/>
    </row>
    <row r="26" spans="1:8" x14ac:dyDescent="0.2">
      <c r="A26" s="12">
        <v>25</v>
      </c>
      <c r="B26" s="15">
        <v>45542</v>
      </c>
      <c r="C26" s="16">
        <v>3357</v>
      </c>
      <c r="D26" s="17" t="s">
        <v>4</v>
      </c>
      <c r="E26" s="17"/>
      <c r="F26" s="17"/>
    </row>
    <row r="27" spans="1:8" x14ac:dyDescent="0.2">
      <c r="A27" s="12">
        <v>26</v>
      </c>
      <c r="B27" s="15">
        <v>45572</v>
      </c>
      <c r="C27" s="16">
        <v>3357</v>
      </c>
      <c r="D27" s="17" t="s">
        <v>3</v>
      </c>
      <c r="E27" s="17"/>
      <c r="F27" s="17"/>
    </row>
    <row r="28" spans="1:8" x14ac:dyDescent="0.2">
      <c r="A28" s="12">
        <v>27</v>
      </c>
      <c r="B28" s="15">
        <v>45603</v>
      </c>
      <c r="C28" s="16">
        <v>3357</v>
      </c>
      <c r="D28" s="17" t="s">
        <v>3</v>
      </c>
      <c r="E28" s="17"/>
      <c r="F28" s="17"/>
    </row>
    <row r="29" spans="1:8" x14ac:dyDescent="0.2">
      <c r="A29" s="12">
        <v>28</v>
      </c>
      <c r="B29" s="15">
        <v>45633</v>
      </c>
      <c r="C29" s="16">
        <v>3357</v>
      </c>
      <c r="D29" s="17" t="s">
        <v>3</v>
      </c>
      <c r="E29" s="17"/>
      <c r="F29" s="17"/>
    </row>
    <row r="30" spans="1:8" x14ac:dyDescent="0.2">
      <c r="A30" s="12">
        <v>29</v>
      </c>
      <c r="B30" s="15">
        <v>45664</v>
      </c>
      <c r="C30" s="16">
        <v>3357</v>
      </c>
      <c r="D30" s="17" t="s">
        <v>3</v>
      </c>
      <c r="E30" s="17"/>
      <c r="F30" s="17"/>
    </row>
    <row r="31" spans="1:8" x14ac:dyDescent="0.2">
      <c r="A31" s="12">
        <v>30</v>
      </c>
      <c r="B31" s="15">
        <v>45695</v>
      </c>
      <c r="C31" s="16">
        <v>3357</v>
      </c>
      <c r="D31" s="17" t="s">
        <v>3</v>
      </c>
      <c r="E31" s="17"/>
      <c r="F31" s="17"/>
    </row>
    <row r="32" spans="1:8" x14ac:dyDescent="0.2">
      <c r="A32" s="12">
        <v>31</v>
      </c>
      <c r="B32" s="15">
        <v>45723</v>
      </c>
      <c r="C32" s="16">
        <v>3357</v>
      </c>
      <c r="D32" s="17" t="s">
        <v>3</v>
      </c>
      <c r="E32" s="17"/>
      <c r="F32" s="17"/>
    </row>
    <row r="33" spans="1:6" x14ac:dyDescent="0.2">
      <c r="A33" s="12">
        <v>32</v>
      </c>
      <c r="B33" s="15">
        <v>45754</v>
      </c>
      <c r="C33" s="16">
        <v>3357</v>
      </c>
      <c r="D33" s="17" t="s">
        <v>4</v>
      </c>
      <c r="E33" s="17"/>
      <c r="F33" s="17"/>
    </row>
    <row r="34" spans="1:6" x14ac:dyDescent="0.2">
      <c r="A34" s="12">
        <v>33</v>
      </c>
      <c r="B34" s="15">
        <v>45784</v>
      </c>
      <c r="C34" s="16">
        <v>3357</v>
      </c>
      <c r="D34" s="17" t="s">
        <v>3</v>
      </c>
      <c r="E34" s="17"/>
      <c r="F34" s="17"/>
    </row>
    <row r="35" spans="1:6" x14ac:dyDescent="0.2">
      <c r="A35" s="12">
        <v>34</v>
      </c>
      <c r="B35" s="15">
        <v>45815</v>
      </c>
      <c r="C35" s="16">
        <v>3357</v>
      </c>
      <c r="D35" s="17" t="s">
        <v>3</v>
      </c>
      <c r="E35" s="17"/>
      <c r="F35" s="17"/>
    </row>
    <row r="36" spans="1:6" x14ac:dyDescent="0.2">
      <c r="A36" s="12">
        <v>35</v>
      </c>
      <c r="B36" s="15">
        <v>45845</v>
      </c>
      <c r="C36" s="16">
        <v>3357</v>
      </c>
      <c r="D36" s="17" t="s">
        <v>3</v>
      </c>
      <c r="E36" s="17"/>
      <c r="F36" s="17"/>
    </row>
    <row r="37" spans="1:6" x14ac:dyDescent="0.2">
      <c r="A37" s="12">
        <v>36</v>
      </c>
      <c r="B37" s="15">
        <v>45876</v>
      </c>
      <c r="C37" s="16">
        <v>3357</v>
      </c>
      <c r="D37" s="17" t="s">
        <v>3</v>
      </c>
      <c r="E37" s="17"/>
      <c r="F37" s="17"/>
    </row>
    <row r="38" spans="1:6" x14ac:dyDescent="0.2">
      <c r="A38" s="12">
        <v>37</v>
      </c>
      <c r="B38" s="15">
        <v>45907</v>
      </c>
      <c r="C38" s="16">
        <v>3340</v>
      </c>
      <c r="D38" s="17" t="s">
        <v>3</v>
      </c>
      <c r="E38" s="17"/>
      <c r="F38" s="17"/>
    </row>
  </sheetData>
  <conditionalFormatting sqref="B2:F38">
    <cfRule type="expression" dxfId="6" priority="2" stopIfTrue="1">
      <formula>$D2="failed"</formula>
    </cfRule>
  </conditionalFormatting>
  <conditionalFormatting sqref="A2:A38">
    <cfRule type="expression" dxfId="5" priority="1" stopIfTrue="1">
      <formula>$D2="failed"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D229-6247-0B42-B37F-0B9DB931D042}">
  <dimension ref="A1:G17"/>
  <sheetViews>
    <sheetView zoomScale="159" workbookViewId="0">
      <selection activeCell="F21" sqref="F21"/>
    </sheetView>
  </sheetViews>
  <sheetFormatPr baseColWidth="10" defaultRowHeight="16" x14ac:dyDescent="0.2"/>
  <cols>
    <col min="3" max="3" width="16.140625" customWidth="1"/>
    <col min="5" max="5" width="13.140625" customWidth="1"/>
    <col min="7" max="7" width="9.42578125" bestFit="1" customWidth="1"/>
  </cols>
  <sheetData>
    <row r="1" spans="1:7" x14ac:dyDescent="0.2">
      <c r="A1" s="1" t="s">
        <v>0</v>
      </c>
      <c r="B1" s="7" t="s">
        <v>2</v>
      </c>
      <c r="C1" s="2" t="s">
        <v>8</v>
      </c>
      <c r="D1" s="3" t="s">
        <v>1</v>
      </c>
      <c r="E1" s="8" t="s">
        <v>9</v>
      </c>
    </row>
    <row r="2" spans="1:7" x14ac:dyDescent="0.2">
      <c r="A2" s="4">
        <v>45081</v>
      </c>
      <c r="B2" s="5">
        <v>400</v>
      </c>
      <c r="G2" s="9" t="s">
        <v>13</v>
      </c>
    </row>
    <row r="3" spans="1:7" x14ac:dyDescent="0.2">
      <c r="A3" s="4">
        <v>45085</v>
      </c>
      <c r="B3" s="5">
        <v>400</v>
      </c>
      <c r="G3" s="10">
        <f>SUM(B:B)</f>
        <v>3600</v>
      </c>
    </row>
    <row r="4" spans="1:7" x14ac:dyDescent="0.2">
      <c r="A4" s="4">
        <v>45196</v>
      </c>
      <c r="B4" s="5">
        <v>400</v>
      </c>
    </row>
    <row r="5" spans="1:7" x14ac:dyDescent="0.2">
      <c r="A5" s="4">
        <v>45259</v>
      </c>
      <c r="B5" s="5">
        <v>400</v>
      </c>
    </row>
    <row r="6" spans="1:7" x14ac:dyDescent="0.2">
      <c r="A6" s="4">
        <v>45419</v>
      </c>
      <c r="B6" s="5">
        <v>400</v>
      </c>
    </row>
    <row r="7" spans="1:7" x14ac:dyDescent="0.2">
      <c r="A7" s="4">
        <v>45480</v>
      </c>
      <c r="B7" s="5">
        <v>400</v>
      </c>
    </row>
    <row r="8" spans="1:7" x14ac:dyDescent="0.2">
      <c r="A8" s="4">
        <v>45511</v>
      </c>
      <c r="B8" s="5">
        <v>400</v>
      </c>
    </row>
    <row r="9" spans="1:7" x14ac:dyDescent="0.2">
      <c r="A9" s="4">
        <v>45542</v>
      </c>
      <c r="B9" s="5">
        <v>400</v>
      </c>
    </row>
    <row r="10" spans="1:7" x14ac:dyDescent="0.2">
      <c r="A10" s="4">
        <v>45754</v>
      </c>
      <c r="B10" s="5">
        <v>400</v>
      </c>
    </row>
    <row r="11" spans="1:7" x14ac:dyDescent="0.2">
      <c r="A11" s="4"/>
      <c r="B11" s="5"/>
    </row>
    <row r="12" spans="1:7" x14ac:dyDescent="0.2">
      <c r="A12" s="4"/>
      <c r="B12" s="5"/>
    </row>
    <row r="13" spans="1:7" x14ac:dyDescent="0.2">
      <c r="A13" s="4"/>
      <c r="B13" s="5"/>
    </row>
    <row r="14" spans="1:7" x14ac:dyDescent="0.2">
      <c r="A14" s="4"/>
      <c r="B14" s="5"/>
    </row>
    <row r="15" spans="1:7" x14ac:dyDescent="0.2">
      <c r="A15" s="4"/>
      <c r="B15" s="5"/>
    </row>
    <row r="16" spans="1:7" x14ac:dyDescent="0.2">
      <c r="A16" s="4"/>
      <c r="B16" s="5"/>
    </row>
    <row r="17" spans="1:2" x14ac:dyDescent="0.2">
      <c r="A17" s="4"/>
      <c r="B1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EMI_Debited</vt:lpstr>
      <vt:lpstr>Extra_Payments_happened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B</dc:creator>
  <cp:lastModifiedBy>PRUTHVIRAJ B</cp:lastModifiedBy>
  <dcterms:created xsi:type="dcterms:W3CDTF">2025-09-21T15:10:09Z</dcterms:created>
  <dcterms:modified xsi:type="dcterms:W3CDTF">2025-09-22T08:54:17Z</dcterms:modified>
</cp:coreProperties>
</file>